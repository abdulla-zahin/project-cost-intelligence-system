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Budget Breakdown" sheetId="2" state="visible" r:id="rId2"/>
    <sheet name="Budget Insights" sheetId="3" state="visible" r:id="rId3"/>
    <sheet name="BOQ Details" sheetId="4" state="visible" r:id="rId4"/>
    <sheet name="BOQ Comparison" sheetId="5" state="visible" r:id="rId5"/>
    <sheet name="Report Draft" sheetId="6" state="visible" r:id="rId6"/>
    <sheet name="Charts" sheetId="7" state="visible" r:id="rId7"/>
  </sheets>
  <definedNames/>
  <calcPr calcId="124519" fullCalcOnLoad="1"/>
</workbook>
</file>

<file path=xl/styles.xml><?xml version="1.0" encoding="utf-8"?>
<styleSheet xmlns="http://schemas.openxmlformats.org/spreadsheetml/2006/main">
  <numFmts count="1">
    <numFmt numFmtId="164" formatCode="&quot;AED&quot; #,##0.00"/>
  </numFmts>
  <fonts count="5">
    <font>
      <name val="Calibri"/>
      <family val="2"/>
      <color theme="1"/>
      <sz val="11"/>
      <scheme val="minor"/>
    </font>
    <font>
      <b val="1"/>
    </font>
    <font>
      <b val="1"/>
      <color rgb="00FFFFFF"/>
      <sz val="16"/>
    </font>
    <font>
      <b val="1"/>
      <sz val="11"/>
    </font>
    <font>
      <b val="1"/>
      <sz val="13"/>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EDF4FB"/>
      </patternFill>
    </fill>
    <fill>
      <patternFill patternType="solid">
        <fgColor rgb="00F3F3F3"/>
      </patternFill>
    </fill>
    <fill>
      <patternFill patternType="solid">
        <fgColor rgb="00E2F0D9"/>
      </patternFill>
    </fill>
  </fills>
  <borders count="3">
    <border>
      <left/>
      <right/>
      <top/>
      <bottom/>
      <diagonal/>
    </border>
    <border>
      <left style="thin"/>
      <right style="thin"/>
      <top style="thin"/>
      <bottom style="thin"/>
    </border>
    <border>
      <left style="thin">
        <color rgb="00B7B7B7"/>
      </left>
      <right style="thin">
        <color rgb="00B7B7B7"/>
      </right>
      <top style="thin">
        <color rgb="00B7B7B7"/>
      </top>
      <bottom style="thin">
        <color rgb="00B7B7B7"/>
      </bottom>
    </border>
  </borders>
  <cellStyleXfs count="1">
    <xf numFmtId="0" fontId="0" fillId="0" borderId="0"/>
  </cellStyleXfs>
  <cellXfs count="31">
    <xf numFmtId="0" fontId="0" fillId="0" borderId="0" pivotButton="0" quotePrefix="0" xfId="0"/>
    <xf numFmtId="0" fontId="1" fillId="2" borderId="2"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1" fillId="5" borderId="2" applyAlignment="1" pivotButton="0" quotePrefix="0" xfId="0">
      <alignment horizontal="left" vertical="center"/>
    </xf>
    <xf numFmtId="0" fontId="0" fillId="0" borderId="2" applyAlignment="1" pivotButton="0" quotePrefix="0" xfId="0">
      <alignment horizontal="left" vertical="center"/>
    </xf>
    <xf numFmtId="0" fontId="0" fillId="0" borderId="2" pivotButton="0" quotePrefix="0" xfId="0"/>
    <xf numFmtId="0" fontId="1" fillId="6" borderId="2" applyAlignment="1" pivotButton="0" quotePrefix="0" xfId="0">
      <alignment horizontal="left" vertical="center"/>
    </xf>
    <xf numFmtId="164" fontId="4" fillId="0" borderId="2" applyAlignment="1" pivotButton="0" quotePrefix="0" xfId="0">
      <alignment horizontal="center" vertical="center"/>
    </xf>
    <xf numFmtId="10" fontId="4" fillId="0" borderId="2" applyAlignment="1" pivotButton="0" quotePrefix="0" xfId="0">
      <alignment horizontal="center" vertical="center"/>
    </xf>
    <xf numFmtId="0" fontId="1" fillId="7" borderId="2" applyAlignment="1" pivotButton="0" quotePrefix="0" xfId="0">
      <alignment horizontal="left" vertical="center"/>
    </xf>
    <xf numFmtId="0" fontId="0" fillId="0" borderId="2" applyAlignment="1" pivotButton="0" quotePrefix="0" xfId="0">
      <alignment horizontal="left" vertical="top" wrapText="1"/>
    </xf>
    <xf numFmtId="0" fontId="1" fillId="5" borderId="2" pivotButton="0" quotePrefix="0" xfId="0"/>
    <xf numFmtId="0" fontId="1" fillId="3" borderId="2" applyAlignment="1" pivotButton="0" quotePrefix="0" xfId="0">
      <alignment horizontal="center" vertical="center"/>
    </xf>
    <xf numFmtId="2" fontId="0" fillId="0" borderId="2" pivotButton="0" quotePrefix="0" xfId="0"/>
    <xf numFmtId="164" fontId="0" fillId="0" borderId="2" pivotButton="0" quotePrefix="0" xfId="0"/>
    <xf numFmtId="0" fontId="1" fillId="4" borderId="2" pivotButton="0" quotePrefix="0" xfId="0"/>
    <xf numFmtId="2" fontId="1" fillId="4" borderId="2" pivotButton="0" quotePrefix="0" xfId="0"/>
    <xf numFmtId="164" fontId="1" fillId="4" borderId="2" pivotButton="0" quotePrefix="0" xfId="0"/>
    <xf numFmtId="0" fontId="0" fillId="7" borderId="2" pivotButton="0" quotePrefix="0" xfId="0"/>
    <xf numFmtId="2" fontId="0" fillId="7" borderId="2" pivotButton="0" quotePrefix="0" xfId="0"/>
    <xf numFmtId="164" fontId="0" fillId="7" borderId="2" pivotButton="0" quotePrefix="0" xfId="0"/>
    <xf numFmtId="0" fontId="1" fillId="6" borderId="2" pivotButton="0" quotePrefix="0" xfId="0"/>
    <xf numFmtId="2" fontId="1" fillId="6" borderId="2" pivotButton="0" quotePrefix="0" xfId="0"/>
    <xf numFmtId="164" fontId="1" fillId="6" borderId="2" pivotButton="0" quotePrefix="0" xfId="0"/>
    <xf numFmtId="0" fontId="1" fillId="3" borderId="2" applyAlignment="1" pivotButton="0" quotePrefix="0" xfId="0">
      <alignment horizontal="center" vertical="top"/>
    </xf>
    <xf numFmtId="0" fontId="0" fillId="7" borderId="2" applyAlignment="1" pivotButton="0" quotePrefix="0" xfId="0">
      <alignment horizontal="left" vertical="top" wrapText="1"/>
    </xf>
    <xf numFmtId="0" fontId="1" fillId="3" borderId="2"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Budget Distribution</a:t>
            </a:r>
          </a:p>
        </rich>
      </tx>
    </title>
    <plotArea>
      <pieChart>
        <varyColors val="1"/>
        <ser>
          <idx val="0"/>
          <order val="0"/>
          <tx>
            <strRef>
              <f>'Charts'!B2</f>
            </strRef>
          </tx>
          <spPr>
            <a:ln>
              <a:prstDash val="solid"/>
            </a:ln>
          </spPr>
          <cat>
            <numRef>
              <f>'Charts'!$A$3:$A$9</f>
            </numRef>
          </cat>
          <val>
            <numRef>
              <f>'Charts'!$B$3:$B$9</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Allocation by Category</a:t>
            </a:r>
          </a:p>
        </rich>
      </tx>
    </title>
    <plotArea>
      <barChart>
        <barDir val="col"/>
        <grouping val="clustered"/>
        <ser>
          <idx val="0"/>
          <order val="0"/>
          <tx>
            <strRef>
              <f>'Charts'!B2</f>
            </strRef>
          </tx>
          <spPr>
            <a:ln>
              <a:prstDash val="solid"/>
            </a:ln>
          </spPr>
          <cat>
            <numRef>
              <f>'Charts'!$A$3:$A$9</f>
            </numRef>
          </cat>
          <val>
            <numRef>
              <f>'Charts'!$B$3:$B$9</f>
            </numRef>
          </val>
        </ser>
        <gapWidth val="150"/>
        <axId val="10"/>
        <axId val="100"/>
      </barChart>
      <catAx>
        <axId val="10"/>
        <scaling>
          <orientation val="minMax"/>
        </scaling>
        <axPos val="l"/>
        <title>
          <tx>
            <rich>
              <a:bodyPr/>
              <a:p>
                <a:pPr>
                  <a:defRPr/>
                </a:pPr>
                <a:r>
                  <a:t>Category</a:t>
                </a:r>
              </a:p>
            </rich>
          </tx>
        </title>
        <majorTickMark val="none"/>
        <minorTickMark val="none"/>
        <crossAx val="100"/>
        <lblOffset val="100"/>
      </catAx>
      <valAx>
        <axId val="100"/>
        <scaling>
          <orientation val="minMax"/>
        </scaling>
        <axPos val="l"/>
        <majorGridlines/>
        <title>
          <tx>
            <rich>
              <a:bodyPr/>
              <a:p>
                <a:pPr>
                  <a:defRPr/>
                </a:pPr>
                <a:r>
                  <a:t>Amount (AED)</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1"/>
  <chart>
    <title>
      <tx>
        <rich>
          <a:bodyPr/>
          <a:p>
            <a:pPr>
              <a:defRPr/>
            </a:pPr>
            <a:r>
              <a:t>Planned vs Actual BOQ</a:t>
            </a:r>
          </a:p>
        </rich>
      </tx>
    </title>
    <plotArea>
      <barChart>
        <barDir val="col"/>
        <grouping val="clustered"/>
        <ser>
          <idx val="0"/>
          <order val="0"/>
          <tx>
            <strRef>
              <f>'Charts'!F38</f>
            </strRef>
          </tx>
          <spPr>
            <a:ln>
              <a:prstDash val="solid"/>
            </a:ln>
          </spPr>
          <cat>
            <numRef>
              <f>'Charts'!$E$39:$E$45</f>
            </numRef>
          </cat>
          <val>
            <numRef>
              <f>'Charts'!$F$39:$F$45</f>
            </numRef>
          </val>
        </ser>
        <ser>
          <idx val="1"/>
          <order val="1"/>
          <tx>
            <strRef>
              <f>'Charts'!G38</f>
            </strRef>
          </tx>
          <spPr>
            <a:ln>
              <a:prstDash val="solid"/>
            </a:ln>
          </spPr>
          <cat>
            <numRef>
              <f>'Charts'!$E$39:$E$45</f>
            </numRef>
          </cat>
          <val>
            <numRef>
              <f>'Charts'!$G$39:$G$45</f>
            </numRef>
          </val>
        </ser>
        <gapWidth val="150"/>
        <axId val="10"/>
        <axId val="100"/>
      </barChart>
      <catAx>
        <axId val="10"/>
        <scaling>
          <orientation val="minMax"/>
        </scaling>
        <axPos val="l"/>
        <title>
          <tx>
            <rich>
              <a:bodyPr/>
              <a:p>
                <a:pPr>
                  <a:defRPr/>
                </a:pPr>
                <a:r>
                  <a:t>Category</a:t>
                </a:r>
              </a:p>
            </rich>
          </tx>
        </title>
        <majorTickMark val="none"/>
        <minorTickMark val="none"/>
        <crossAx val="100"/>
        <lblOffset val="100"/>
      </catAx>
      <valAx>
        <axId val="100"/>
        <scaling>
          <orientation val="minMax"/>
        </scaling>
        <axPos val="l"/>
        <majorGridlines/>
        <title>
          <tx>
            <rich>
              <a:bodyPr/>
              <a:p>
                <a:pPr>
                  <a:defRPr/>
                </a:pPr>
                <a:r>
                  <a:t>Amount (AED)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row>
      <rowOff>0</rowOff>
    </from>
    <ext cx="4320000" cy="324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19</row>
      <rowOff>0</rowOff>
    </from>
    <ext cx="5040000" cy="324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39</row>
      <rowOff>0</rowOff>
    </from>
    <ext cx="5040000" cy="360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6" customWidth="1" min="1" max="1"/>
    <col width="24" customWidth="1" min="2" max="2"/>
    <col width="24" customWidth="1" min="3" max="3"/>
    <col width="24" customWidth="1" min="4" max="4"/>
    <col width="24" customWidth="1" min="5" max="5"/>
    <col width="24" customWidth="1" min="6" max="6"/>
  </cols>
  <sheetData>
    <row r="1" ht="34" customHeight="1">
      <c r="A1" s="1" t="inlineStr">
        <is>
          <t>LOGO</t>
        </is>
      </c>
      <c r="B1" s="2" t="inlineStr">
        <is>
          <t>TKM - PROJECT COST INTELLIGENCE REPORT</t>
        </is>
      </c>
    </row>
    <row r="3">
      <c r="A3" s="3" t="inlineStr">
        <is>
          <t>PROJECT INFORMATION</t>
        </is>
      </c>
      <c r="D3" s="4" t="inlineStr">
        <is>
          <t>KEY FINANCIAL METRICS</t>
        </is>
      </c>
    </row>
    <row r="5">
      <c r="A5" s="5" t="inlineStr">
        <is>
          <t>Project Name</t>
        </is>
      </c>
      <c r="B5" s="6" t="inlineStr">
        <is>
          <t>New Engineering Project</t>
        </is>
      </c>
      <c r="C5" s="7" t="n"/>
      <c r="D5" s="8" t="inlineStr">
        <is>
          <t>Total Budget</t>
        </is>
      </c>
      <c r="E5" s="9" t="n">
        <v>500000</v>
      </c>
      <c r="F5" s="7" t="inlineStr"/>
    </row>
    <row r="6">
      <c r="A6" s="5" t="inlineStr">
        <is>
          <t>Project Reference</t>
        </is>
      </c>
      <c r="B6" s="6" t="inlineStr">
        <is>
          <t>TKM-EST-2026-001</t>
        </is>
      </c>
      <c r="C6" s="7" t="n"/>
      <c r="D6" s="8" t="inlineStr">
        <is>
          <t>Profit %</t>
        </is>
      </c>
      <c r="E6" s="10" t="n">
        <v>0.1</v>
      </c>
      <c r="F6" s="7" t="inlineStr"/>
    </row>
    <row r="7">
      <c r="A7" s="5" t="inlineStr">
        <is>
          <t>Client Name</t>
        </is>
      </c>
      <c r="B7" s="6" t="inlineStr">
        <is>
          <t>Client Name</t>
        </is>
      </c>
      <c r="C7" s="7" t="n"/>
      <c r="D7" s="8" t="inlineStr">
        <is>
          <t>Profit Amount</t>
        </is>
      </c>
      <c r="E7" s="9" t="n">
        <v>50000</v>
      </c>
      <c r="F7" s="7" t="inlineStr"/>
    </row>
    <row r="8">
      <c r="A8" s="5" t="inlineStr">
        <is>
          <t>Project Type</t>
        </is>
      </c>
      <c r="B8" s="6" t="inlineStr">
        <is>
          <t>General Contracting</t>
        </is>
      </c>
      <c r="C8" s="7" t="n"/>
      <c r="D8" s="8" t="inlineStr">
        <is>
          <t>Allocation %</t>
        </is>
      </c>
      <c r="E8" s="10" t="n">
        <v>1</v>
      </c>
      <c r="F8" s="7" t="inlineStr"/>
    </row>
    <row r="9">
      <c r="A9" s="5" t="inlineStr">
        <is>
          <t>Company Name</t>
        </is>
      </c>
      <c r="B9" s="6" t="inlineStr">
        <is>
          <t>TKM</t>
        </is>
      </c>
      <c r="C9" s="7" t="n"/>
      <c r="D9" s="8" t="inlineStr">
        <is>
          <t>Status</t>
        </is>
      </c>
      <c r="E9" s="11" t="inlineStr">
        <is>
          <t>Balanced</t>
        </is>
      </c>
      <c r="F9" s="7" t="inlineStr"/>
    </row>
    <row r="10">
      <c r="A10" s="5" t="inlineStr">
        <is>
          <t>Author</t>
        </is>
      </c>
      <c r="B10" s="6" t="inlineStr">
        <is>
          <t>Abdulla Zahin</t>
        </is>
      </c>
      <c r="C10" s="7" t="n"/>
    </row>
    <row r="11">
      <c r="A11" s="5" t="inlineStr">
        <is>
          <t>Date</t>
        </is>
      </c>
      <c r="B11" s="6" t="inlineStr">
        <is>
          <t>09 March 2026</t>
        </is>
      </c>
      <c r="C11" s="7" t="n"/>
    </row>
    <row r="12">
      <c r="A12" s="5" t="inlineStr">
        <is>
          <t>Currency</t>
        </is>
      </c>
      <c r="B12" s="6" t="inlineStr">
        <is>
          <t>AED</t>
        </is>
      </c>
      <c r="C12" s="7" t="n"/>
    </row>
    <row r="15">
      <c r="A15" s="3" t="inlineStr">
        <is>
          <t>EXECUTIVE NOTE</t>
        </is>
      </c>
    </row>
    <row r="16">
      <c r="A16" s="12" t="inlineStr">
        <is>
          <t>This report summarizes the recommended allocation for a general contracting under TKM for client Client Name. Current allocation status is balanced, with an estimated profit of 10.00% and profit amount of AED 50,000.00.</t>
        </is>
      </c>
    </row>
    <row r="17"/>
    <row r="18"/>
  </sheetData>
  <mergeCells count="5">
    <mergeCell ref="D3:F3"/>
    <mergeCell ref="A3:C3"/>
    <mergeCell ref="B1:F1"/>
    <mergeCell ref="A16:F18"/>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showGridLines="0" workbookViewId="0">
      <pane ySplit="7" topLeftCell="A8" activePane="bottomLeft" state="frozen"/>
      <selection pane="bottomLeft" activeCell="A1" sqref="A1"/>
    </sheetView>
  </sheetViews>
  <sheetFormatPr baseColWidth="8" defaultRowHeight="15"/>
  <cols>
    <col width="30" customWidth="1" min="1" max="1"/>
    <col width="16" customWidth="1" min="2" max="2"/>
    <col width="22" customWidth="1" min="3" max="3"/>
    <col width="18" customWidth="1" min="4" max="4"/>
  </cols>
  <sheetData>
    <row r="1">
      <c r="A1" s="2" t="inlineStr">
        <is>
          <t>DETAILED BUDGET BREAKDOWN</t>
        </is>
      </c>
    </row>
    <row r="3">
      <c r="A3" s="13" t="inlineStr">
        <is>
          <t>Project Name</t>
        </is>
      </c>
      <c r="B3" s="7" t="inlineStr">
        <is>
          <t>New Engineering Project</t>
        </is>
      </c>
      <c r="D3" s="13" t="inlineStr">
        <is>
          <t>Prepared By</t>
        </is>
      </c>
    </row>
    <row r="4">
      <c r="A4" s="13" t="inlineStr">
        <is>
          <t>Project Reference</t>
        </is>
      </c>
      <c r="B4" s="7" t="inlineStr">
        <is>
          <t>TKM-EST-2026-001</t>
        </is>
      </c>
      <c r="D4" s="7" t="inlineStr">
        <is>
          <t>Abdulla Zahin</t>
        </is>
      </c>
    </row>
    <row r="5">
      <c r="A5" s="13" t="inlineStr">
        <is>
          <t>Client Name</t>
        </is>
      </c>
      <c r="B5" s="7" t="inlineStr">
        <is>
          <t>Client Name</t>
        </is>
      </c>
      <c r="D5" s="13" t="inlineStr">
        <is>
          <t>Prepared On</t>
        </is>
      </c>
    </row>
    <row r="6">
      <c r="A6" s="13" t="inlineStr">
        <is>
          <t>Project Type</t>
        </is>
      </c>
      <c r="B6" s="7" t="inlineStr">
        <is>
          <t>General Contracting</t>
        </is>
      </c>
      <c r="D6" s="7" t="inlineStr">
        <is>
          <t>09 March 2026</t>
        </is>
      </c>
    </row>
    <row r="8">
      <c r="A8" s="14" t="inlineStr">
        <is>
          <t>Category</t>
        </is>
      </c>
      <c r="B8" s="14" t="inlineStr">
        <is>
          <t>Allocation %</t>
        </is>
      </c>
      <c r="C8" s="14" t="inlineStr">
        <is>
          <t>Amount</t>
        </is>
      </c>
      <c r="D8" s="14" t="inlineStr">
        <is>
          <t>Remarks</t>
        </is>
      </c>
    </row>
    <row r="9">
      <c r="A9" s="7" t="inlineStr">
        <is>
          <t>Materials</t>
        </is>
      </c>
      <c r="B9" s="15" t="n">
        <v>40</v>
      </c>
      <c r="C9" s="16" t="n">
        <v>200000</v>
      </c>
      <c r="D9" s="7" t="inlineStr">
        <is>
          <t>Reviewed</t>
        </is>
      </c>
    </row>
    <row r="10">
      <c r="A10" s="7" t="inlineStr">
        <is>
          <t>Labor</t>
        </is>
      </c>
      <c r="B10" s="15" t="n">
        <v>25</v>
      </c>
      <c r="C10" s="16" t="n">
        <v>125000</v>
      </c>
      <c r="D10" s="7" t="inlineStr">
        <is>
          <t>Reviewed</t>
        </is>
      </c>
    </row>
    <row r="11">
      <c r="A11" s="7" t="inlineStr">
        <is>
          <t>Transportation</t>
        </is>
      </c>
      <c r="B11" s="15" t="n">
        <v>5</v>
      </c>
      <c r="C11" s="16" t="n">
        <v>25000</v>
      </c>
      <c r="D11" s="7" t="inlineStr">
        <is>
          <t>Reviewed</t>
        </is>
      </c>
    </row>
    <row r="12">
      <c r="A12" s="7" t="inlineStr">
        <is>
          <t>Office Expense</t>
        </is>
      </c>
      <c r="B12" s="15" t="n">
        <v>5</v>
      </c>
      <c r="C12" s="16" t="n">
        <v>25000</v>
      </c>
      <c r="D12" s="7" t="inlineStr">
        <is>
          <t>Reviewed</t>
        </is>
      </c>
    </row>
    <row r="13">
      <c r="A13" s="7" t="inlineStr">
        <is>
          <t>Salaries / Overheads</t>
        </is>
      </c>
      <c r="B13" s="15" t="n">
        <v>10</v>
      </c>
      <c r="C13" s="16" t="n">
        <v>50000</v>
      </c>
      <c r="D13" s="7" t="inlineStr">
        <is>
          <t>Reviewed</t>
        </is>
      </c>
    </row>
    <row r="14">
      <c r="A14" s="17" t="inlineStr">
        <is>
          <t>Company Profit</t>
        </is>
      </c>
      <c r="B14" s="18" t="n">
        <v>10</v>
      </c>
      <c r="C14" s="19" t="n">
        <v>50000</v>
      </c>
      <c r="D14" s="17" t="inlineStr">
        <is>
          <t>Reviewed</t>
        </is>
      </c>
    </row>
    <row r="15">
      <c r="A15" s="20" t="inlineStr">
        <is>
          <t>Contingency</t>
        </is>
      </c>
      <c r="B15" s="21" t="n">
        <v>5</v>
      </c>
      <c r="C15" s="22" t="n">
        <v>25000</v>
      </c>
      <c r="D15" s="20" t="inlineStr">
        <is>
          <t>Reviewed</t>
        </is>
      </c>
    </row>
    <row r="16">
      <c r="A16" s="23" t="inlineStr">
        <is>
          <t>Total Allocation</t>
        </is>
      </c>
      <c r="B16" s="24" t="n">
        <v>100</v>
      </c>
      <c r="C16" s="25" t="n">
        <v>500000</v>
      </c>
      <c r="D16" s="23" t="inlineStr">
        <is>
          <t>Balanced</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showGridLines="0" workbookViewId="0">
      <pane ySplit="3" topLeftCell="A4" activePane="bottomLeft" state="frozen"/>
      <selection pane="bottomLeft" activeCell="A1" sqref="A1"/>
    </sheetView>
  </sheetViews>
  <sheetFormatPr baseColWidth="8" defaultRowHeight="15"/>
  <cols>
    <col width="110" customWidth="1" min="1" max="1"/>
  </cols>
  <sheetData>
    <row r="1">
      <c r="A1" s="2" t="inlineStr">
        <is>
          <t>BUDGET INTELLIGENCE &amp; RISK NOTES</t>
        </is>
      </c>
    </row>
    <row r="4">
      <c r="A4" s="26" t="inlineStr">
        <is>
          <t>Budget Insights</t>
        </is>
      </c>
    </row>
    <row r="5">
      <c r="A5" s="27" t="inlineStr">
        <is>
          <t>Allocation Status: Balanced</t>
        </is>
      </c>
    </row>
    <row r="6">
      <c r="A6" s="27" t="inlineStr">
        <is>
          <t>✅ Total allocation is perfectly balanced at 100%.</t>
        </is>
      </c>
    </row>
    <row r="7">
      <c r="A7" s="27" t="inlineStr">
        <is>
          <t>✅ Profit margin looks healthy for a practical contracting estimate.</t>
        </is>
      </c>
    </row>
    <row r="8">
      <c r="A8" s="27" t="inlineStr">
        <is>
          <t>✅ Contingency reserve provides a reasonable safety buffer.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workbookViewId="0">
      <pane ySplit="7" topLeftCell="A8" activePane="bottomLeft" state="frozen"/>
      <selection pane="bottomLeft" activeCell="A1" sqref="A1"/>
    </sheetView>
  </sheetViews>
  <sheetFormatPr baseColWidth="8" defaultRowHeight="15"/>
  <cols>
    <col width="36" customWidth="1" min="1" max="1"/>
    <col width="14" customWidth="1" min="2" max="2"/>
    <col width="16" customWidth="1" min="3" max="3"/>
    <col width="22" customWidth="1" min="4" max="4"/>
    <col width="24" customWidth="1" min="5" max="5"/>
    <col width="18" customWidth="1" min="6" max="6"/>
  </cols>
  <sheetData>
    <row r="1">
      <c r="A1" s="2" t="inlineStr">
        <is>
          <t>UPLOADED BOQ DETAILS</t>
        </is>
      </c>
    </row>
    <row r="3">
      <c r="A3" s="13" t="inlineStr">
        <is>
          <t>BOQ Total Cost</t>
        </is>
      </c>
      <c r="B3" s="16" t="n">
        <v>735750</v>
      </c>
      <c r="C3" s="13" t="inlineStr">
        <is>
          <t>BOQ Item Count</t>
        </is>
      </c>
      <c r="D3" s="7" t="n">
        <v>13</v>
      </c>
      <c r="E3" s="13" t="inlineStr">
        <is>
          <t>Highest Item</t>
        </is>
      </c>
      <c r="F3" s="7" t="inlineStr">
        <is>
          <t>Steel Pipes</t>
        </is>
      </c>
    </row>
    <row r="4">
      <c r="A4" s="13" t="inlineStr">
        <is>
          <t>Highest Item Cost</t>
        </is>
      </c>
      <c r="B4" s="16" t="n">
        <v>540000</v>
      </c>
    </row>
    <row r="8">
      <c r="A8" s="14" t="inlineStr">
        <is>
          <t>Item</t>
        </is>
      </c>
      <c r="B8" s="14" t="inlineStr">
        <is>
          <t>Quantity</t>
        </is>
      </c>
      <c r="C8" s="14" t="inlineStr">
        <is>
          <t>Unit Cost</t>
        </is>
      </c>
      <c r="D8" s="14" t="inlineStr">
        <is>
          <t>Category</t>
        </is>
      </c>
      <c r="E8" s="14" t="inlineStr">
        <is>
          <t>Normalized Category</t>
        </is>
      </c>
      <c r="F8" s="14" t="inlineStr">
        <is>
          <t>Total Cost</t>
        </is>
      </c>
    </row>
    <row r="9">
      <c r="A9" s="7" t="inlineStr">
        <is>
          <t>Steel Pipes</t>
        </is>
      </c>
      <c r="B9" s="15" t="n">
        <v>12000</v>
      </c>
      <c r="C9" s="16" t="n">
        <v>45</v>
      </c>
      <c r="D9" s="7" t="inlineStr">
        <is>
          <t>Material</t>
        </is>
      </c>
      <c r="E9" s="7" t="inlineStr">
        <is>
          <t>Materials</t>
        </is>
      </c>
      <c r="F9" s="16" t="n">
        <v>540000</v>
      </c>
    </row>
    <row r="10">
      <c r="A10" s="7" t="inlineStr">
        <is>
          <t>Concrete</t>
        </is>
      </c>
      <c r="B10" s="15" t="n">
        <v>600</v>
      </c>
      <c r="C10" s="16" t="n">
        <v>60</v>
      </c>
      <c r="D10" s="7" t="inlineStr">
        <is>
          <t>Material</t>
        </is>
      </c>
      <c r="E10" s="7" t="inlineStr">
        <is>
          <t>Materials</t>
        </is>
      </c>
      <c r="F10" s="16" t="n">
        <v>36000</v>
      </c>
    </row>
    <row r="11">
      <c r="A11" s="7" t="inlineStr">
        <is>
          <t>Labor Installation</t>
        </is>
      </c>
      <c r="B11" s="15" t="n">
        <v>100</v>
      </c>
      <c r="C11" s="16" t="n">
        <v>30</v>
      </c>
      <c r="D11" s="7" t="inlineStr">
        <is>
          <t>Labor</t>
        </is>
      </c>
      <c r="E11" s="7" t="inlineStr">
        <is>
          <t>Labor</t>
        </is>
      </c>
      <c r="F11" s="16" t="n">
        <v>3000</v>
      </c>
    </row>
    <row r="12">
      <c r="A12" s="7" t="inlineStr">
        <is>
          <t>Welding</t>
        </is>
      </c>
      <c r="B12" s="15" t="n">
        <v>40</v>
      </c>
      <c r="C12" s="16" t="n">
        <v>55</v>
      </c>
      <c r="D12" s="7" t="inlineStr">
        <is>
          <t>Labor</t>
        </is>
      </c>
      <c r="E12" s="7" t="inlineStr">
        <is>
          <t>Labor</t>
        </is>
      </c>
      <c r="F12" s="16" t="n">
        <v>2200</v>
      </c>
    </row>
    <row r="13">
      <c r="A13" s="7" t="inlineStr">
        <is>
          <t>Coating Work</t>
        </is>
      </c>
      <c r="B13" s="15" t="n">
        <v>35</v>
      </c>
      <c r="C13" s="16" t="n">
        <v>70</v>
      </c>
      <c r="D13" s="7" t="inlineStr">
        <is>
          <t>Labor</t>
        </is>
      </c>
      <c r="E13" s="7" t="inlineStr">
        <is>
          <t>Labor</t>
        </is>
      </c>
      <c r="F13" s="16" t="n">
        <v>2450</v>
      </c>
    </row>
    <row r="14">
      <c r="A14" s="7" t="inlineStr">
        <is>
          <t>Valves</t>
        </is>
      </c>
      <c r="B14" s="15" t="n">
        <v>600</v>
      </c>
      <c r="C14" s="16" t="n">
        <v>150</v>
      </c>
      <c r="D14" s="7" t="inlineStr">
        <is>
          <t>Material</t>
        </is>
      </c>
      <c r="E14" s="7" t="inlineStr">
        <is>
          <t>Materials</t>
        </is>
      </c>
      <c r="F14" s="16" t="n">
        <v>90000</v>
      </c>
    </row>
    <row r="15">
      <c r="A15" s="7" t="inlineStr">
        <is>
          <t>Gaskets</t>
        </is>
      </c>
      <c r="B15" s="15" t="n">
        <v>600</v>
      </c>
      <c r="C15" s="16" t="n">
        <v>10</v>
      </c>
      <c r="D15" s="7" t="inlineStr">
        <is>
          <t>Material</t>
        </is>
      </c>
      <c r="E15" s="7" t="inlineStr">
        <is>
          <t>Materials</t>
        </is>
      </c>
      <c r="F15" s="16" t="n">
        <v>6000</v>
      </c>
    </row>
    <row r="16">
      <c r="A16" s="7" t="inlineStr">
        <is>
          <t>Inspection</t>
        </is>
      </c>
      <c r="B16" s="15" t="n">
        <v>20</v>
      </c>
      <c r="C16" s="16" t="n">
        <v>80</v>
      </c>
      <c r="D16" s="7" t="inlineStr">
        <is>
          <t>Labor</t>
        </is>
      </c>
      <c r="E16" s="7" t="inlineStr">
        <is>
          <t>Labor</t>
        </is>
      </c>
      <c r="F16" s="16" t="n">
        <v>1600</v>
      </c>
    </row>
    <row r="17">
      <c r="A17" s="7" t="inlineStr">
        <is>
          <t>Vehicle</t>
        </is>
      </c>
      <c r="B17" s="15" t="n">
        <v>3</v>
      </c>
      <c r="C17" s="16" t="n">
        <v>3000</v>
      </c>
      <c r="D17" s="7" t="inlineStr">
        <is>
          <t>Transportation</t>
        </is>
      </c>
      <c r="E17" s="7" t="inlineStr">
        <is>
          <t>Transportation</t>
        </is>
      </c>
      <c r="F17" s="16" t="n">
        <v>9000</v>
      </c>
    </row>
    <row r="18">
      <c r="A18" s="7" t="inlineStr">
        <is>
          <t>Vehicle Maintenance</t>
        </is>
      </c>
      <c r="B18" s="15" t="n">
        <v>3</v>
      </c>
      <c r="C18" s="16" t="n">
        <v>500</v>
      </c>
      <c r="D18" s="7" t="inlineStr">
        <is>
          <t>Transportation</t>
        </is>
      </c>
      <c r="E18" s="7" t="inlineStr">
        <is>
          <t>Transportation</t>
        </is>
      </c>
      <c r="F18" s="16" t="n">
        <v>1500</v>
      </c>
    </row>
    <row r="19">
      <c r="A19" s="7" t="inlineStr">
        <is>
          <t>Office Expenses</t>
        </is>
      </c>
      <c r="B19" s="15" t="n">
        <v>4</v>
      </c>
      <c r="C19" s="16" t="n">
        <v>4500</v>
      </c>
      <c r="D19" s="7" t="inlineStr">
        <is>
          <t>Office expense</t>
        </is>
      </c>
      <c r="E19" s="7" t="inlineStr">
        <is>
          <t>Office Expense</t>
        </is>
      </c>
      <c r="F19" s="16" t="n">
        <v>18000</v>
      </c>
    </row>
    <row r="20">
      <c r="A20" s="7" t="inlineStr">
        <is>
          <t>Salaries/ Overheads</t>
        </is>
      </c>
      <c r="B20" s="15" t="n">
        <v>5</v>
      </c>
      <c r="C20" s="16" t="n">
        <v>4200</v>
      </c>
      <c r="D20" s="7" t="inlineStr">
        <is>
          <t>Salaries/ Overheads</t>
        </is>
      </c>
      <c r="E20" s="7" t="inlineStr">
        <is>
          <t>Salaries/ Overheads</t>
        </is>
      </c>
      <c r="F20" s="16" t="n">
        <v>21000</v>
      </c>
    </row>
    <row r="21">
      <c r="A21" s="7" t="inlineStr">
        <is>
          <t>Contongencies</t>
        </is>
      </c>
      <c r="B21" s="15" t="n">
        <v>1</v>
      </c>
      <c r="C21" s="16" t="n">
        <v>5000</v>
      </c>
      <c r="D21" s="7" t="inlineStr">
        <is>
          <t>Contongencies</t>
        </is>
      </c>
      <c r="E21" s="7" t="inlineStr">
        <is>
          <t>Contongencies</t>
        </is>
      </c>
      <c r="F21" s="16" t="n">
        <v>5000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showGridLines="0" workbookViewId="0">
      <pane ySplit="6" topLeftCell="A7" activePane="bottomLeft" state="frozen"/>
      <selection pane="bottomLeft" activeCell="A1" sqref="A1"/>
    </sheetView>
  </sheetViews>
  <sheetFormatPr baseColWidth="8" defaultRowHeight="15"/>
  <cols>
    <col width="28" customWidth="1" min="1" max="1"/>
    <col width="20" customWidth="1" min="2" max="2"/>
    <col width="20" customWidth="1" min="3" max="3"/>
    <col width="20" customWidth="1" min="4" max="4"/>
  </cols>
  <sheetData>
    <row r="1">
      <c r="A1" s="2" t="inlineStr">
        <is>
          <t>PLANNED VS ACTUAL BOQ COMPARISON</t>
        </is>
      </c>
    </row>
    <row r="3">
      <c r="A3" s="13" t="inlineStr">
        <is>
          <t>Project Budget</t>
        </is>
      </c>
      <c r="B3" s="16" t="n">
        <v>500000</v>
      </c>
      <c r="C3" s="13" t="inlineStr">
        <is>
          <t>Allocation Status</t>
        </is>
      </c>
      <c r="D3" s="7" t="inlineStr">
        <is>
          <t>Balanced</t>
        </is>
      </c>
    </row>
    <row r="7">
      <c r="A7" s="14" t="inlineStr">
        <is>
          <t>Category</t>
        </is>
      </c>
      <c r="B7" s="14" t="inlineStr">
        <is>
          <t>Planned Budget</t>
        </is>
      </c>
      <c r="C7" s="14" t="inlineStr">
        <is>
          <t>Actual BOQ Cost</t>
        </is>
      </c>
      <c r="D7" s="14" t="inlineStr">
        <is>
          <t>Difference</t>
        </is>
      </c>
    </row>
    <row r="8">
      <c r="A8" s="7" t="inlineStr">
        <is>
          <t>Materials</t>
        </is>
      </c>
      <c r="B8" s="16" t="n">
        <v>200000</v>
      </c>
      <c r="C8" s="16" t="n">
        <v>672000</v>
      </c>
      <c r="D8" s="16" t="n">
        <v>-472000</v>
      </c>
    </row>
    <row r="9">
      <c r="A9" s="7" t="inlineStr">
        <is>
          <t>Labor</t>
        </is>
      </c>
      <c r="B9" s="16" t="n">
        <v>125000</v>
      </c>
      <c r="C9" s="16" t="n">
        <v>9250</v>
      </c>
      <c r="D9" s="16" t="n">
        <v>115750</v>
      </c>
    </row>
    <row r="10">
      <c r="A10" s="7" t="inlineStr">
        <is>
          <t>Transportation</t>
        </is>
      </c>
      <c r="B10" s="16" t="n">
        <v>25000</v>
      </c>
      <c r="C10" s="16" t="n">
        <v>10500</v>
      </c>
      <c r="D10" s="16" t="n">
        <v>14500</v>
      </c>
    </row>
    <row r="11">
      <c r="A11" s="7" t="inlineStr">
        <is>
          <t>Office Expense</t>
        </is>
      </c>
      <c r="B11" s="16" t="n">
        <v>25000</v>
      </c>
      <c r="C11" s="16" t="n">
        <v>18000</v>
      </c>
      <c r="D11" s="16" t="n">
        <v>7000</v>
      </c>
    </row>
    <row r="12">
      <c r="A12" s="7" t="inlineStr">
        <is>
          <t>Salaries / Overheads</t>
        </is>
      </c>
      <c r="B12" s="16" t="n">
        <v>50000</v>
      </c>
      <c r="C12" s="16" t="n">
        <v>0</v>
      </c>
      <c r="D12" s="16" t="n">
        <v>50000</v>
      </c>
    </row>
    <row r="13">
      <c r="A13" s="7" t="inlineStr">
        <is>
          <t>Company Profit</t>
        </is>
      </c>
      <c r="B13" s="16" t="n">
        <v>50000</v>
      </c>
      <c r="C13" s="16" t="n">
        <v>0</v>
      </c>
      <c r="D13" s="16" t="n">
        <v>50000</v>
      </c>
    </row>
    <row r="14">
      <c r="A14" s="7" t="inlineStr">
        <is>
          <t>Contingency</t>
        </is>
      </c>
      <c r="B14" s="16" t="n">
        <v>25000</v>
      </c>
      <c r="C14" s="16" t="n">
        <v>0</v>
      </c>
      <c r="D14" s="16" t="n">
        <v>25000</v>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110" customWidth="1" min="2" max="2"/>
  </cols>
  <sheetData>
    <row r="1">
      <c r="A1" s="2" t="inlineStr">
        <is>
          <t>AUTO-GENERATED REPORT DRAFT</t>
        </is>
      </c>
    </row>
    <row r="3" ht="54" customHeight="1">
      <c r="A3" s="28" t="inlineStr">
        <is>
          <t>Estimate Summary</t>
        </is>
      </c>
      <c r="B3" s="12" t="inlineStr">
        <is>
          <t>Project Reference: TKM-EST-2026-001. Client: Client Name. Based on the submitted project details for New Engineering Project, categorized under General Contracting, TKM has prepared a preliminary budget estimate with a total projected value of AED 500,000.00. The estimate has been distributed across key execution heads including materials, labor, transportation, office expenses, overheads, contingency, and company profit. The current model reflects an expected profit margin of 10.00% with an estimated profit value of AED 50,000.00. Overall allocation status is presently balanced, subject to final technical and commercial review.</t>
        </is>
      </c>
    </row>
    <row r="5" ht="54" customHeight="1">
      <c r="A5" s="28" t="inlineStr">
        <is>
          <t>Commercial Proposal Note</t>
        </is>
      </c>
      <c r="B5" s="12" t="inlineStr">
        <is>
          <t>Reference TKM-EST-2026-001 has been prepared for Client Name. We are pleased to submit this preliminary commercial budget consideration for New Engineering Project. This estimate has been developed based on the selected project type, expected execution requirements, material demand, labor deployment, logistics considerations, and administrative overheads. The proposed allocation is intended to maintain practical project execution while preserving commercial viability for TKM. Any final quotation or commercial submission should be validated against approved scope, drawings, specifications, and prevailing market rates before issue.</t>
        </is>
      </c>
    </row>
    <row r="7" ht="54" customHeight="1">
      <c r="A7" s="28" t="inlineStr">
        <is>
          <t>Terms / Disclaimer Note</t>
        </is>
      </c>
      <c r="B7" s="12" t="inlineStr">
        <is>
          <t>This budget estimate is prepared solely for planning, review, and preliminary commercial evaluation purposes. Final values may vary depending on site conditions, actual quantities, client requirements, specification changes, transportation conditions, authority approvals, and material price fluctuations at the time of execution. Any variation in scope, timeline, procurement conditions, or execution methodology may lead to revision of the final commercial offer and agreement terms.</t>
        </is>
      </c>
    </row>
    <row r="9" ht="54" customHeight="1">
      <c r="A9" s="28" t="inlineStr">
        <is>
          <t>Internal Approval Note</t>
        </is>
      </c>
      <c r="B9" s="12" t="inlineStr">
        <is>
          <t>Internal review reference: TKM-EST-2026-001. From an internal review standpoint, the current allocation for New Engineering Project appears balanced with a projected profit margin of 10.00%. Management is advised to review category distribution, execution risks, and contingency adequacy before final approval or client submission.</t>
        </is>
      </c>
    </row>
  </sheetData>
  <mergeCells count="1">
    <mergeCell ref="A1:B1"/>
  </mergeCell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sheetData>
    <row r="1">
      <c r="A1" s="2" t="inlineStr">
        <is>
          <t>BUDGET VISUALS</t>
        </is>
      </c>
    </row>
    <row r="2">
      <c r="A2" s="28" t="inlineStr">
        <is>
          <t>Category</t>
        </is>
      </c>
      <c r="B2" s="28" t="inlineStr">
        <is>
          <t>Amount</t>
        </is>
      </c>
      <c r="C2" s="28" t="inlineStr">
        <is>
          <t>Allocation %</t>
        </is>
      </c>
      <c r="D2" s="28" t="n"/>
      <c r="E2" s="28" t="n"/>
      <c r="F2" s="28" t="n"/>
      <c r="G2" s="28" t="n"/>
      <c r="H2" s="28" t="n"/>
    </row>
    <row r="3">
      <c r="A3" t="inlineStr">
        <is>
          <t>Materials</t>
        </is>
      </c>
      <c r="B3" s="29" t="n">
        <v>200000</v>
      </c>
      <c r="C3" s="30" t="n">
        <v>0.4</v>
      </c>
    </row>
    <row r="4">
      <c r="A4" t="inlineStr">
        <is>
          <t>Labor</t>
        </is>
      </c>
      <c r="B4" s="29" t="n">
        <v>125000</v>
      </c>
      <c r="C4" s="30" t="n">
        <v>0.25</v>
      </c>
    </row>
    <row r="5">
      <c r="A5" t="inlineStr">
        <is>
          <t>Transportation</t>
        </is>
      </c>
      <c r="B5" s="29" t="n">
        <v>25000</v>
      </c>
      <c r="C5" s="30" t="n">
        <v>0.05</v>
      </c>
    </row>
    <row r="6">
      <c r="A6" t="inlineStr">
        <is>
          <t>Office Expense</t>
        </is>
      </c>
      <c r="B6" s="29" t="n">
        <v>25000</v>
      </c>
      <c r="C6" s="30" t="n">
        <v>0.05</v>
      </c>
    </row>
    <row r="7">
      <c r="A7" t="inlineStr">
        <is>
          <t>Salaries / Overheads</t>
        </is>
      </c>
      <c r="B7" s="29" t="n">
        <v>50000</v>
      </c>
      <c r="C7" s="30" t="n">
        <v>0.1</v>
      </c>
    </row>
    <row r="8">
      <c r="A8" t="inlineStr">
        <is>
          <t>Company Profit</t>
        </is>
      </c>
      <c r="B8" s="29" t="n">
        <v>50000</v>
      </c>
      <c r="C8" s="30" t="n">
        <v>0.1</v>
      </c>
    </row>
    <row r="9">
      <c r="A9" t="inlineStr">
        <is>
          <t>Contingency</t>
        </is>
      </c>
      <c r="B9" s="29" t="n">
        <v>25000</v>
      </c>
      <c r="C9" s="30" t="n">
        <v>0.05</v>
      </c>
    </row>
    <row r="38">
      <c r="A38" s="28" t="n"/>
      <c r="B38" s="28" t="n"/>
      <c r="C38" s="28" t="n"/>
      <c r="D38" s="28" t="n"/>
      <c r="E38" s="28" t="inlineStr">
        <is>
          <t>BOQ Category</t>
        </is>
      </c>
      <c r="F38" s="28" t="inlineStr">
        <is>
          <t>Planned Budget</t>
        </is>
      </c>
      <c r="G38" s="28" t="inlineStr">
        <is>
          <t>Actual BOQ Cost</t>
        </is>
      </c>
    </row>
    <row r="39">
      <c r="E39" t="inlineStr">
        <is>
          <t>Materials</t>
        </is>
      </c>
      <c r="F39" s="29" t="n">
        <v>200000</v>
      </c>
      <c r="G39" s="29" t="n">
        <v>672000</v>
      </c>
    </row>
    <row r="40">
      <c r="E40" t="inlineStr">
        <is>
          <t>Labor</t>
        </is>
      </c>
      <c r="F40" s="29" t="n">
        <v>125000</v>
      </c>
      <c r="G40" s="29" t="n">
        <v>9250</v>
      </c>
    </row>
    <row r="41">
      <c r="E41" t="inlineStr">
        <is>
          <t>Transportation</t>
        </is>
      </c>
      <c r="F41" s="29" t="n">
        <v>25000</v>
      </c>
      <c r="G41" s="29" t="n">
        <v>10500</v>
      </c>
    </row>
    <row r="42">
      <c r="E42" t="inlineStr">
        <is>
          <t>Office Expense</t>
        </is>
      </c>
      <c r="F42" s="29" t="n">
        <v>25000</v>
      </c>
      <c r="G42" s="29" t="n">
        <v>18000</v>
      </c>
    </row>
    <row r="43">
      <c r="E43" t="inlineStr">
        <is>
          <t>Salaries / Overheads</t>
        </is>
      </c>
      <c r="F43" s="29" t="n">
        <v>50000</v>
      </c>
      <c r="G43" s="29" t="n">
        <v>0</v>
      </c>
    </row>
    <row r="44">
      <c r="E44" t="inlineStr">
        <is>
          <t>Company Profit</t>
        </is>
      </c>
      <c r="F44" s="29" t="n">
        <v>50000</v>
      </c>
      <c r="G44" s="29" t="n">
        <v>0</v>
      </c>
    </row>
    <row r="45">
      <c r="E45" t="inlineStr">
        <is>
          <t>Contingency</t>
        </is>
      </c>
      <c r="F45" s="29" t="n">
        <v>25000</v>
      </c>
      <c r="G45" s="29" t="n">
        <v>0</v>
      </c>
    </row>
  </sheetData>
  <mergeCells count="1">
    <mergeCell ref="A1:H1"/>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2026-03-08T19:19:47Z</dcterms:created>
  <dcterms:modified xsi:type="dcterms:W3CDTF">2026-03-08T19:19:47Z</dcterms:modified>
</cp:coreProperties>
</file>